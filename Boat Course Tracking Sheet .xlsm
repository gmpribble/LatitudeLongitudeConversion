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vin\Documents\ForPetersClass\DistributeToPeter\"/>
    </mc:Choice>
  </mc:AlternateContent>
  <xr:revisionPtr revIDLastSave="0" documentId="8_{3FDFD4EB-710C-4841-A56C-E78220BF543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urse" sheetId="1" r:id="rId1"/>
    <sheet name="Conversion" sheetId="2" r:id="rId2"/>
  </sheets>
  <functionGroups builtInGroupCount="19"/>
  <definedNames>
    <definedName name="_xlnm.Print_Area" localSheetId="0">Course!$A$1:$J$33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" i="2"/>
  <c r="B2" i="2" a="1"/>
  <c r="B4" i="2" a="1"/>
  <c r="B6" i="2" a="1"/>
  <c r="B8" i="2" a="1"/>
  <c r="B10" i="2" a="1"/>
  <c r="B12" i="2" a="1"/>
  <c r="B14" i="2" a="1"/>
  <c r="B5" i="2" a="1"/>
  <c r="B7" i="2" a="1"/>
  <c r="B11" i="2" a="1"/>
  <c r="B15" i="2" a="1"/>
  <c r="B17" i="2" a="1"/>
  <c r="B3" i="2" a="1"/>
  <c r="B9" i="2" a="1"/>
  <c r="B13" i="2" a="1"/>
  <c r="B16" i="2" a="1"/>
  <c r="B1" i="2" a="1"/>
  <c r="A2" i="2" a="1"/>
  <c r="A4" i="2" a="1"/>
  <c r="A6" i="2" a="1"/>
  <c r="A8" i="2" a="1"/>
  <c r="A10" i="2" a="1"/>
  <c r="A12" i="2" a="1"/>
  <c r="A5" i="2" a="1"/>
  <c r="A9" i="2" a="1"/>
  <c r="A13" i="2" a="1"/>
  <c r="A14" i="2" a="1"/>
  <c r="A3" i="2" a="1"/>
  <c r="A7" i="2" a="1"/>
  <c r="A11" i="2" a="1"/>
  <c r="A15" i="2" a="1"/>
  <c r="A1" i="2" a="1"/>
  <c r="A16" i="2" a="1"/>
  <c r="A17" i="2" a="1"/>
  <c r="B16" i="2" l="1"/>
  <c r="B13" i="2"/>
  <c r="B9" i="2"/>
  <c r="B3" i="2"/>
  <c r="B17" i="2"/>
  <c r="B15" i="2"/>
  <c r="B11" i="2"/>
  <c r="B7" i="2"/>
  <c r="B5" i="2"/>
  <c r="B14" i="2"/>
  <c r="B12" i="2"/>
  <c r="B10" i="2"/>
  <c r="B8" i="2"/>
  <c r="B6" i="2"/>
  <c r="B4" i="2"/>
  <c r="B2" i="2"/>
  <c r="B1" i="2"/>
  <c r="A15" i="2"/>
  <c r="A11" i="2"/>
  <c r="A7" i="2"/>
  <c r="A3" i="2"/>
  <c r="A14" i="2"/>
  <c r="A13" i="2"/>
  <c r="A9" i="2"/>
  <c r="A5" i="2"/>
  <c r="A12" i="2"/>
  <c r="A10" i="2"/>
  <c r="A8" i="2"/>
  <c r="A6" i="2"/>
  <c r="A4" i="2"/>
  <c r="A2" i="2"/>
  <c r="A1" i="2"/>
  <c r="A16" i="2"/>
  <c r="A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<sst xmlns="http://schemas.openxmlformats.org/spreadsheetml/2006/main" count="99" uniqueCount="88">
  <si>
    <t xml:space="preserve">Magnetic </t>
  </si>
  <si>
    <t>Course</t>
  </si>
  <si>
    <t xml:space="preserve">Travel </t>
  </si>
  <si>
    <t>Time</t>
  </si>
  <si>
    <t>Ending Coordinates</t>
  </si>
  <si>
    <t xml:space="preserve">Latitude </t>
  </si>
  <si>
    <t>Longitude</t>
  </si>
  <si>
    <t>Destination</t>
  </si>
  <si>
    <t>Comments</t>
  </si>
  <si>
    <t>Chart</t>
  </si>
  <si>
    <t>Pg. No.</t>
  </si>
  <si>
    <t>Nautical</t>
  </si>
  <si>
    <t>Miles</t>
  </si>
  <si>
    <t>Speed</t>
  </si>
  <si>
    <t>(P)ort or (S)tarboard</t>
  </si>
  <si>
    <t>P or S</t>
  </si>
  <si>
    <t>Along the Way or</t>
  </si>
  <si>
    <t>Plotted Course Tracking Sheet</t>
  </si>
  <si>
    <t>S</t>
  </si>
  <si>
    <t>G "15"</t>
  </si>
  <si>
    <t>RG "C1"</t>
  </si>
  <si>
    <t>R "10"</t>
  </si>
  <si>
    <t>G "7"</t>
  </si>
  <si>
    <t>R "6"</t>
  </si>
  <si>
    <t>R "4"</t>
  </si>
  <si>
    <t>C "3"</t>
  </si>
  <si>
    <t>R "2"</t>
  </si>
  <si>
    <t>C "1"</t>
  </si>
  <si>
    <t>RW "WB"</t>
  </si>
  <si>
    <t>C "7"</t>
  </si>
  <si>
    <t>R "8"</t>
  </si>
  <si>
    <t>G "1"</t>
  </si>
  <si>
    <t>G "5"</t>
  </si>
  <si>
    <t>Arrival</t>
  </si>
  <si>
    <t>p</t>
  </si>
  <si>
    <t>P</t>
  </si>
  <si>
    <t>43° 43' 10" N</t>
  </si>
  <si>
    <t>43° 42' 17" N</t>
  </si>
  <si>
    <t>43° 41' 28" N</t>
  </si>
  <si>
    <t>43° 40' 29" N</t>
  </si>
  <si>
    <t>43° 40' 15" N</t>
  </si>
  <si>
    <t>43° 39' 57" N</t>
  </si>
  <si>
    <t>43° 39' 18" N</t>
  </si>
  <si>
    <t>43° 42' 53" N</t>
  </si>
  <si>
    <t>43° 44' 43" N</t>
  </si>
  <si>
    <t>43° 46' 43" N</t>
  </si>
  <si>
    <t>43° 45' 53" N</t>
  </si>
  <si>
    <t>43° 39' 12" N</t>
  </si>
  <si>
    <t>43° 39' 37" N</t>
  </si>
  <si>
    <t>43° 48' 00" N</t>
  </si>
  <si>
    <t>43° 48' 18" N</t>
  </si>
  <si>
    <t>43° 48' 05" N</t>
  </si>
  <si>
    <t>43° 48' 19" N</t>
  </si>
  <si>
    <t>070° 12' 20" W</t>
  </si>
  <si>
    <t>070° 11' 51" W</t>
  </si>
  <si>
    <t>070° 10' 18" W</t>
  </si>
  <si>
    <t>070° 10' 43" W</t>
  </si>
  <si>
    <t>070° 10' 40" W</t>
  </si>
  <si>
    <t>070° 09' 55" W</t>
  </si>
  <si>
    <t>070° 07' 06" W</t>
  </si>
  <si>
    <t>070° 06' 56" W</t>
  </si>
  <si>
    <t>070° 02' 23" W</t>
  </si>
  <si>
    <t>069° 55' 06" W</t>
  </si>
  <si>
    <t>069° 52' 40" W</t>
  </si>
  <si>
    <t>069° 52' 52" W</t>
  </si>
  <si>
    <t>069° 53' 17" W</t>
  </si>
  <si>
    <t>069° 52' 41" W</t>
  </si>
  <si>
    <t>069° 51' 59" W</t>
  </si>
  <si>
    <t>069° 51' 33" W</t>
  </si>
  <si>
    <t>069° 51' 16" W</t>
  </si>
  <si>
    <t xml:space="preserve"> </t>
  </si>
  <si>
    <t>ForesideToBasin_002</t>
  </si>
  <si>
    <t>ForesideToBasin_003</t>
  </si>
  <si>
    <t>ForesideToBasin_004</t>
  </si>
  <si>
    <t>ForesideToBasin_005</t>
  </si>
  <si>
    <t>ForesideToBasin_006</t>
  </si>
  <si>
    <t>ForesideToBasin_007</t>
  </si>
  <si>
    <t>ForesideToBasin_008</t>
  </si>
  <si>
    <t>ForesideToBasin_009</t>
  </si>
  <si>
    <t>ForesideToBasin_010</t>
  </si>
  <si>
    <t>ForesideToBasin_011</t>
  </si>
  <si>
    <t>ForesideToBasin_012</t>
  </si>
  <si>
    <t>ForesideToBasin_013</t>
  </si>
  <si>
    <t>ForesideToBasin_014</t>
  </si>
  <si>
    <t>ForesideToBasin_015</t>
  </si>
  <si>
    <t>ForesideToBasin_016</t>
  </si>
  <si>
    <t>ForesideToBasin_017</t>
  </si>
  <si>
    <t>ForesideToBasin_018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</si>
</sst>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8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7" xfId="0" applyFont="1" applyBorder="1"/>
    <xf numFmtId="0" fontId="2" fillId="0" borderId="11" xfId="0" applyFont="1" applyBorder="1"/>
    <xf numFmtId="0" fontId="2" fillId="0" borderId="10" xfId="0" applyFont="1" applyBorder="1"/>
    <xf numFmtId="0" fontId="2" fillId="0" borderId="0" xfId="0" applyFont="1"/>
    <xf numFmtId="0" fontId="1" fillId="0" borderId="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114300</xdr:rowOff>
    </xdr:from>
    <xdr:to>
      <xdr:col>9</xdr:col>
      <xdr:colOff>3028950</xdr:colOff>
      <xdr:row>3</xdr:row>
      <xdr:rowOff>19050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6CDB83-5479-4FF3-ABE3-17BEB7B55518}"/>
            </a:ext>
          </a:extLst>
        </xdr:cNvPr>
        <xdr:cNvSpPr txBox="1">
          <a:spLocks noChangeArrowheads="1"/>
        </xdr:cNvSpPr>
      </xdr:nvSpPr>
      <xdr:spPr bwMode="auto">
        <a:xfrm>
          <a:off x="6238875" y="276225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Travel Date: July 8, 2023</a:t>
          </a:r>
        </a:p>
      </xdr:txBody>
    </xdr:sp>
    <xdr:clientData/>
  </xdr:twoCellAnchor>
  <xdr:twoCellAnchor>
    <xdr:from>
      <xdr:col>0</xdr:col>
      <xdr:colOff>0</xdr:colOff>
      <xdr:row>1</xdr:row>
      <xdr:rowOff>104775</xdr:rowOff>
    </xdr:from>
    <xdr:to>
      <xdr:col>6</xdr:col>
      <xdr:colOff>0</xdr:colOff>
      <xdr:row>3</xdr:row>
      <xdr:rowOff>9525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E3696816-1B78-4BFA-A854-6F278409A6C0}"/>
            </a:ext>
          </a:extLst>
        </xdr:cNvPr>
        <xdr:cNvSpPr txBox="1">
          <a:spLocks noChangeArrowheads="1"/>
        </xdr:cNvSpPr>
      </xdr:nvSpPr>
      <xdr:spPr bwMode="auto">
        <a:xfrm>
          <a:off x="0" y="266700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Chartbook:                                    Day/Page No: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6</xdr:col>
      <xdr:colOff>0</xdr:colOff>
      <xdr:row>4</xdr:row>
      <xdr:rowOff>66675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22CF1659-1894-40F4-90A6-0069FF3636A3}"/>
            </a:ext>
          </a:extLst>
        </xdr:cNvPr>
        <xdr:cNvSpPr txBox="1">
          <a:spLocks noChangeArrowheads="1"/>
        </xdr:cNvSpPr>
      </xdr:nvSpPr>
      <xdr:spPr bwMode="auto">
        <a:xfrm>
          <a:off x="0" y="485775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Tides: High: 3:24 AM/4:08 PM Low: 9:46 AM/10:11 PM</a:t>
          </a:r>
        </a:p>
      </xdr:txBody>
    </xdr:sp>
    <xdr:clientData/>
  </xdr:twoCellAnchor>
  <xdr:twoCellAnchor>
    <xdr:from>
      <xdr:col>8</xdr:col>
      <xdr:colOff>0</xdr:colOff>
      <xdr:row>3</xdr:row>
      <xdr:rowOff>9525</xdr:rowOff>
    </xdr:from>
    <xdr:to>
      <xdr:col>10</xdr:col>
      <xdr:colOff>0</xdr:colOff>
      <xdr:row>4</xdr:row>
      <xdr:rowOff>76200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4F6D7889-3ABA-4A34-9C92-7C26C9FBDCCA}"/>
            </a:ext>
          </a:extLst>
        </xdr:cNvPr>
        <xdr:cNvSpPr txBox="1">
          <a:spLocks noChangeArrowheads="1"/>
        </xdr:cNvSpPr>
      </xdr:nvSpPr>
      <xdr:spPr bwMode="auto">
        <a:xfrm>
          <a:off x="6238875" y="4953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Sunrise: 4:06 AM Sunset: 8:18 PM</a:t>
          </a:r>
        </a:p>
      </xdr:txBody>
    </xdr:sp>
    <xdr:clientData/>
  </xdr:twoCellAnchor>
  <xdr:twoCellAnchor>
    <xdr:from>
      <xdr:col>8</xdr:col>
      <xdr:colOff>0</xdr:colOff>
      <xdr:row>4</xdr:row>
      <xdr:rowOff>85725</xdr:rowOff>
    </xdr:from>
    <xdr:to>
      <xdr:col>10</xdr:col>
      <xdr:colOff>0</xdr:colOff>
      <xdr:row>5</xdr:row>
      <xdr:rowOff>152400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D3A39F5B-E69F-4D56-A167-FB18D611B4EF}"/>
            </a:ext>
          </a:extLst>
        </xdr:cNvPr>
        <xdr:cNvSpPr txBox="1">
          <a:spLocks noChangeArrowheads="1"/>
        </xdr:cNvSpPr>
      </xdr:nvSpPr>
      <xdr:spPr bwMode="auto">
        <a:xfrm>
          <a:off x="6238875" y="9144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Starting Coordinates: 43° 43' 41" N   070° 11' 55" 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33"/>
  <sheetViews>
    <sheetView tabSelected="1" workbookViewId="0">
      <selection activeCell="H26" sqref="H26"/>
    </sheetView>
  </sheetViews>
  <sheetFormatPr defaultRowHeight="13.2" x14ac:dyDescent="0.25"/>
  <cols>
    <col min="1" max="1" width="6.88671875" customWidth="1"/>
    <col min="2" max="2" width="8.88671875" customWidth="1"/>
    <col min="3" max="3" width="9.109375" customWidth="1"/>
    <col min="4" max="4" width="29.44140625" customWidth="1"/>
    <col min="5" max="5" width="5.88671875" customWidth="1"/>
    <col min="6" max="6" width="11.44140625" customWidth="1"/>
    <col min="7" max="7" width="6.33203125" customWidth="1"/>
    <col min="8" max="9" width="15.6640625" customWidth="1"/>
    <col min="10" max="10" width="41" customWidth="1"/>
  </cols>
  <sheetData>
    <row r="1" spans="1:10" ht="22.8" x14ac:dyDescent="0.4">
      <c r="A1" s="20" t="s">
        <v>17</v>
      </c>
      <c r="B1" s="20"/>
      <c r="C1" s="20"/>
      <c r="D1" s="20"/>
      <c r="E1" s="20"/>
      <c r="F1" s="20"/>
      <c r="G1" s="20"/>
      <c r="H1" s="20"/>
      <c r="I1" s="20"/>
      <c r="J1" s="20"/>
    </row>
    <row r="6" spans="1:10" ht="13.8" thickBot="1" x14ac:dyDescent="0.3">
      <c r="E6" s="1" t="s">
        <v>14</v>
      </c>
    </row>
    <row r="7" spans="1:10" s="1" customFormat="1" x14ac:dyDescent="0.25">
      <c r="A7" s="2" t="s">
        <v>9</v>
      </c>
      <c r="B7" s="2" t="s">
        <v>0</v>
      </c>
      <c r="C7" s="2" t="s">
        <v>11</v>
      </c>
      <c r="D7" s="2" t="s">
        <v>16</v>
      </c>
      <c r="E7" s="4"/>
      <c r="F7" s="4" t="s">
        <v>2</v>
      </c>
      <c r="G7" s="4"/>
      <c r="H7" s="18" t="s">
        <v>4</v>
      </c>
      <c r="I7" s="19"/>
      <c r="J7" s="2"/>
    </row>
    <row r="8" spans="1:10" s="1" customFormat="1" ht="13.8" thickBot="1" x14ac:dyDescent="0.3">
      <c r="A8" s="3" t="s">
        <v>10</v>
      </c>
      <c r="B8" s="3" t="s">
        <v>1</v>
      </c>
      <c r="C8" s="3" t="s">
        <v>12</v>
      </c>
      <c r="D8" s="3" t="s">
        <v>7</v>
      </c>
      <c r="E8" s="5" t="s">
        <v>15</v>
      </c>
      <c r="F8" s="5" t="s">
        <v>3</v>
      </c>
      <c r="G8" s="5" t="s">
        <v>13</v>
      </c>
      <c r="H8" s="6" t="s">
        <v>5</v>
      </c>
      <c r="I8" s="7" t="s">
        <v>6</v>
      </c>
      <c r="J8" s="3" t="s">
        <v>8</v>
      </c>
    </row>
    <row r="9" spans="1:10" ht="20.100000000000001" customHeight="1" x14ac:dyDescent="0.25">
      <c r="A9" s="11"/>
      <c r="B9" s="11">
        <v>196</v>
      </c>
      <c r="C9" s="8">
        <v>0.6</v>
      </c>
      <c r="D9" s="14" t="s">
        <v>19</v>
      </c>
      <c r="E9" s="8" t="s">
        <v>18</v>
      </c>
      <c r="F9" s="8">
        <v>45</v>
      </c>
      <c r="G9" s="8">
        <v>8</v>
      </c>
      <c r="H9" s="14" t="s">
        <v>36</v>
      </c>
      <c r="I9" s="14" t="s">
        <v>53</v>
      </c>
      <c r="J9" s="14" t="s">
        <v>71</v>
      </c>
    </row>
    <row r="10" spans="1:10" ht="20.100000000000001" customHeight="1" x14ac:dyDescent="0.25">
      <c r="A10" s="8"/>
      <c r="B10" s="8">
        <v>143</v>
      </c>
      <c r="C10" s="8">
        <v>0.95</v>
      </c>
      <c r="D10" s="14" t="s">
        <v>20</v>
      </c>
      <c r="E10" s="14" t="s">
        <v>34</v>
      </c>
      <c r="F10" s="8">
        <v>7.1</v>
      </c>
      <c r="G10" s="8">
        <v>8</v>
      </c>
      <c r="H10" s="14" t="s">
        <v>37</v>
      </c>
      <c r="I10" s="14" t="s">
        <v>54</v>
      </c>
      <c r="J10" s="14" t="s">
        <v>72</v>
      </c>
    </row>
    <row r="11" spans="1:10" ht="19.2" customHeight="1" x14ac:dyDescent="0.25">
      <c r="A11" s="8"/>
      <c r="B11" s="8">
        <v>111</v>
      </c>
      <c r="C11" s="8">
        <v>1.4</v>
      </c>
      <c r="D11" s="14" t="s">
        <v>21</v>
      </c>
      <c r="E11" s="14" t="s">
        <v>35</v>
      </c>
      <c r="F11" s="8">
        <v>10.5</v>
      </c>
      <c r="G11" s="8">
        <v>8</v>
      </c>
      <c r="H11" s="14" t="s">
        <v>38</v>
      </c>
      <c r="I11" s="14" t="s">
        <v>55</v>
      </c>
      <c r="J11" s="14" t="s">
        <v>73</v>
      </c>
    </row>
    <row r="12" spans="1:10" ht="20.100000000000001" customHeight="1" x14ac:dyDescent="0.25">
      <c r="A12" s="8"/>
      <c r="B12" s="8">
        <v>182</v>
      </c>
      <c r="C12" s="8">
        <v>1</v>
      </c>
      <c r="D12" s="14" t="s">
        <v>22</v>
      </c>
      <c r="E12" s="14" t="s">
        <v>18</v>
      </c>
      <c r="F12" s="8">
        <v>7.5</v>
      </c>
      <c r="G12" s="8">
        <v>8</v>
      </c>
      <c r="H12" s="14" t="s">
        <v>39</v>
      </c>
      <c r="I12" s="14" t="s">
        <v>56</v>
      </c>
      <c r="J12" s="14" t="s">
        <v>74</v>
      </c>
    </row>
    <row r="13" spans="1:10" ht="20.100000000000001" customHeight="1" thickBot="1" x14ac:dyDescent="0.3">
      <c r="A13" s="12"/>
      <c r="B13" s="12">
        <v>153</v>
      </c>
      <c r="C13" s="12">
        <v>0.3</v>
      </c>
      <c r="D13" s="15" t="s">
        <v>23</v>
      </c>
      <c r="E13" s="15" t="s">
        <v>35</v>
      </c>
      <c r="F13" s="12">
        <v>2.25</v>
      </c>
      <c r="G13" s="8">
        <v>8</v>
      </c>
      <c r="H13" s="14" t="s">
        <v>40</v>
      </c>
      <c r="I13" s="14" t="s">
        <v>57</v>
      </c>
      <c r="J13" s="14" t="s">
        <v>75</v>
      </c>
    </row>
    <row r="14" spans="1:10" ht="20.100000000000001" customHeight="1" x14ac:dyDescent="0.25">
      <c r="A14" s="11"/>
      <c r="B14" s="11">
        <v>103</v>
      </c>
      <c r="C14" s="11">
        <v>0.6</v>
      </c>
      <c r="D14" s="16" t="s">
        <v>24</v>
      </c>
      <c r="E14" s="16" t="s">
        <v>35</v>
      </c>
      <c r="F14" s="11">
        <v>4.5</v>
      </c>
      <c r="G14" s="8">
        <v>8</v>
      </c>
      <c r="H14" s="14" t="s">
        <v>41</v>
      </c>
      <c r="I14" s="14" t="s">
        <v>58</v>
      </c>
      <c r="J14" s="14" t="s">
        <v>76</v>
      </c>
    </row>
    <row r="15" spans="1:10" ht="20.100000000000001" customHeight="1" x14ac:dyDescent="0.25">
      <c r="A15" s="8"/>
      <c r="B15" s="8">
        <v>93</v>
      </c>
      <c r="C15" s="8">
        <v>2.2000000000000002</v>
      </c>
      <c r="D15" s="14" t="s">
        <v>25</v>
      </c>
      <c r="E15" s="14" t="s">
        <v>18</v>
      </c>
      <c r="F15" s="8">
        <v>16.5</v>
      </c>
      <c r="G15" s="8">
        <v>8</v>
      </c>
      <c r="H15" s="14" t="s">
        <v>42</v>
      </c>
      <c r="I15" s="14" t="s">
        <v>59</v>
      </c>
      <c r="J15" s="14" t="s">
        <v>77</v>
      </c>
    </row>
    <row r="16" spans="1:10" ht="20.100000000000001" customHeight="1" x14ac:dyDescent="0.25">
      <c r="A16" s="8"/>
      <c r="B16" s="8">
        <v>119</v>
      </c>
      <c r="C16" s="8">
        <v>0.2</v>
      </c>
      <c r="D16" s="14" t="s">
        <v>26</v>
      </c>
      <c r="E16" s="14" t="s">
        <v>35</v>
      </c>
      <c r="F16" s="8">
        <v>1.5</v>
      </c>
      <c r="G16" s="8">
        <v>8</v>
      </c>
      <c r="H16" s="14" t="s">
        <v>47</v>
      </c>
      <c r="I16" s="14" t="s">
        <v>60</v>
      </c>
      <c r="J16" s="14" t="s">
        <v>78</v>
      </c>
    </row>
    <row r="17" spans="1:10" ht="20.100000000000001" customHeight="1" x14ac:dyDescent="0.25">
      <c r="A17" s="8"/>
      <c r="B17" s="8">
        <v>67</v>
      </c>
      <c r="C17" s="8">
        <v>3.3</v>
      </c>
      <c r="D17" s="14" t="s">
        <v>27</v>
      </c>
      <c r="E17" s="14" t="s">
        <v>18</v>
      </c>
      <c r="F17" s="8">
        <v>24.75</v>
      </c>
      <c r="G17" s="8">
        <v>8</v>
      </c>
      <c r="H17" s="14" t="s">
        <v>48</v>
      </c>
      <c r="I17" s="14" t="s">
        <v>61</v>
      </c>
      <c r="J17" s="14" t="s">
        <v>79</v>
      </c>
    </row>
    <row r="18" spans="1:10" ht="20.100000000000001" customHeight="1" thickBot="1" x14ac:dyDescent="0.3">
      <c r="A18" s="12"/>
      <c r="B18" s="12">
        <v>45</v>
      </c>
      <c r="C18" s="12">
        <v>6.1</v>
      </c>
      <c r="D18" s="15" t="s">
        <v>28</v>
      </c>
      <c r="E18" s="15" t="s">
        <v>35</v>
      </c>
      <c r="F18" s="12">
        <v>45.75</v>
      </c>
      <c r="G18" s="8">
        <v>8</v>
      </c>
      <c r="H18" s="14" t="s">
        <v>43</v>
      </c>
      <c r="I18" s="15" t="s">
        <v>62</v>
      </c>
      <c r="J18" s="14" t="s">
        <v>80</v>
      </c>
    </row>
    <row r="19" spans="1:10" ht="20.100000000000001" customHeight="1" thickBot="1" x14ac:dyDescent="0.3">
      <c r="A19" s="11"/>
      <c r="B19" s="11">
        <v>28</v>
      </c>
      <c r="C19" s="11">
        <v>2.6</v>
      </c>
      <c r="D19" s="16" t="s">
        <v>29</v>
      </c>
      <c r="E19" s="16" t="s">
        <v>35</v>
      </c>
      <c r="F19" s="11">
        <v>19.5</v>
      </c>
      <c r="G19" s="8">
        <v>8</v>
      </c>
      <c r="H19" s="14" t="s">
        <v>44</v>
      </c>
      <c r="I19" s="15" t="s">
        <v>63</v>
      </c>
      <c r="J19" s="14" t="s">
        <v>81</v>
      </c>
    </row>
    <row r="20" spans="1:10" ht="20.100000000000001" customHeight="1" thickBot="1" x14ac:dyDescent="0.3">
      <c r="A20" s="8"/>
      <c r="B20" s="8">
        <v>348</v>
      </c>
      <c r="C20" s="8">
        <v>0</v>
      </c>
      <c r="D20" s="14" t="s">
        <v>30</v>
      </c>
      <c r="E20" s="14" t="s">
        <v>18</v>
      </c>
      <c r="F20" s="8">
        <v>6.75</v>
      </c>
      <c r="G20" s="8">
        <v>8</v>
      </c>
      <c r="H20" s="14" t="s">
        <v>46</v>
      </c>
      <c r="I20" s="15" t="s">
        <v>64</v>
      </c>
      <c r="J20" s="14" t="s">
        <v>82</v>
      </c>
    </row>
    <row r="21" spans="1:10" ht="20.100000000000001" customHeight="1" thickBot="1" x14ac:dyDescent="0.3">
      <c r="A21" s="8"/>
      <c r="B21" s="8">
        <v>320</v>
      </c>
      <c r="C21" s="8">
        <v>1.2</v>
      </c>
      <c r="D21" s="14" t="s">
        <v>31</v>
      </c>
      <c r="E21" s="14" t="s">
        <v>35</v>
      </c>
      <c r="F21" s="8">
        <v>9</v>
      </c>
      <c r="G21" s="8">
        <v>8</v>
      </c>
      <c r="H21" s="14" t="s">
        <v>45</v>
      </c>
      <c r="I21" s="15" t="s">
        <v>65</v>
      </c>
      <c r="J21" s="14" t="s">
        <v>83</v>
      </c>
    </row>
    <row r="22" spans="1:10" ht="19.5" customHeight="1" thickBot="1" x14ac:dyDescent="0.3">
      <c r="A22" s="8"/>
      <c r="B22" s="8">
        <v>5</v>
      </c>
      <c r="C22" s="8">
        <v>1.4</v>
      </c>
      <c r="D22" s="14" t="s">
        <v>32</v>
      </c>
      <c r="E22" s="14" t="s">
        <v>35</v>
      </c>
      <c r="F22" s="8">
        <v>10.5</v>
      </c>
      <c r="G22" s="8">
        <v>8</v>
      </c>
      <c r="H22" s="14" t="s">
        <v>49</v>
      </c>
      <c r="I22" s="15" t="s">
        <v>66</v>
      </c>
      <c r="J22" s="14" t="s">
        <v>84</v>
      </c>
    </row>
    <row r="23" spans="1:10" ht="20.100000000000001" customHeight="1" thickBot="1" x14ac:dyDescent="0.3">
      <c r="A23" s="12"/>
      <c r="B23" s="12">
        <v>45</v>
      </c>
      <c r="C23" s="12">
        <v>0.6</v>
      </c>
      <c r="D23" s="12"/>
      <c r="E23" s="12"/>
      <c r="F23" s="12">
        <v>4.5</v>
      </c>
      <c r="G23" s="8">
        <v>8</v>
      </c>
      <c r="H23" s="14" t="s">
        <v>50</v>
      </c>
      <c r="I23" s="15" t="s">
        <v>67</v>
      </c>
      <c r="J23" s="14" t="s">
        <v>85</v>
      </c>
    </row>
    <row r="24" spans="1:10" ht="20.100000000000001" customHeight="1" thickBot="1" x14ac:dyDescent="0.3">
      <c r="A24" s="11"/>
      <c r="B24" s="11">
        <v>111</v>
      </c>
      <c r="C24" s="11">
        <v>0.4</v>
      </c>
      <c r="D24" s="11"/>
      <c r="E24" s="11"/>
      <c r="F24" s="11">
        <v>3</v>
      </c>
      <c r="G24" s="8">
        <v>8</v>
      </c>
      <c r="H24" s="14" t="s">
        <v>51</v>
      </c>
      <c r="I24" s="15" t="s">
        <v>68</v>
      </c>
      <c r="J24" s="14" t="s">
        <v>86</v>
      </c>
    </row>
    <row r="25" spans="1:10" ht="20.100000000000001" customHeight="1" thickBot="1" x14ac:dyDescent="0.3">
      <c r="A25" s="8"/>
      <c r="B25" s="8">
        <v>25</v>
      </c>
      <c r="C25" s="8">
        <v>0.25</v>
      </c>
      <c r="D25" s="14" t="s">
        <v>33</v>
      </c>
      <c r="E25" s="8"/>
      <c r="F25" s="8">
        <v>1.9</v>
      </c>
      <c r="G25" s="8">
        <v>8</v>
      </c>
      <c r="H25" s="14" t="s">
        <v>52</v>
      </c>
      <c r="I25" s="15" t="s">
        <v>69</v>
      </c>
      <c r="J25" s="14" t="s">
        <v>87</v>
      </c>
    </row>
    <row r="26" spans="1:10" ht="20.100000000000001" customHeight="1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20.100000000000001" customHeight="1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20.100000000000001" customHeight="1" thickBot="1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</row>
    <row r="29" spans="1:10" ht="20.100000000000001" customHeight="1" x14ac:dyDescent="0.25">
      <c r="A29" s="11"/>
      <c r="B29" s="11"/>
      <c r="C29" s="11"/>
      <c r="D29" s="11"/>
      <c r="E29" s="11"/>
      <c r="F29" s="11"/>
      <c r="G29" s="13"/>
      <c r="H29" s="13"/>
      <c r="I29" s="11"/>
      <c r="J29" s="11"/>
    </row>
    <row r="30" spans="1:10" ht="20.100000000000001" customHeight="1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20.100000000000001" customHeight="1" x14ac:dyDescent="0.25">
      <c r="A31" s="8"/>
      <c r="B31" s="10"/>
      <c r="C31" s="10"/>
      <c r="D31" s="10"/>
      <c r="E31" s="10"/>
      <c r="F31" s="10"/>
      <c r="G31" s="10"/>
      <c r="H31" s="8"/>
      <c r="I31" s="8"/>
      <c r="J31" s="8"/>
    </row>
    <row r="32" spans="1:10" ht="20.100000000000001" customHeight="1" x14ac:dyDescent="0.25">
      <c r="A32" s="8"/>
      <c r="B32" s="8"/>
      <c r="C32" s="8"/>
      <c r="D32" s="8"/>
      <c r="E32" s="8"/>
      <c r="F32" s="8"/>
      <c r="G32" s="9"/>
      <c r="H32" s="9"/>
      <c r="I32" s="8"/>
      <c r="J32" s="8"/>
    </row>
    <row r="33" spans="1:10" ht="20.100000000000001" customHeight="1" thickBo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</row>
  </sheetData>
  <mergeCells count="2">
    <mergeCell ref="H7:I7"/>
    <mergeCell ref="A1:J1"/>
  </mergeCells>
  <phoneticPr fontId="0" type="noConversion"/>
  <pageMargins left="0.2" right="0.13" top="0.35" bottom="0.43" header="0.27" footer="0.35"/>
  <pageSetup scale="9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8"/>
  <sheetViews>
    <sheetView workbookViewId="0">
      <selection activeCell="B19" sqref="B19"/>
    </sheetView>
  </sheetViews>
  <sheetFormatPr defaultRowHeight="13.2" x14ac:dyDescent="0.25"/>
  <cols>
    <col min="1" max="1" width="11.6640625" bestFit="1" customWidth="1"/>
    <col min="2" max="2" width="13.44140625" bestFit="1" customWidth="1"/>
    <col min="3" max="3" width="23.21875" bestFit="1" customWidth="1"/>
  </cols>
  <sheetData>
    <row r="1" spans="1:3" x14ac:dyDescent="0.25">
      <c r="A1" cm="1">
        <f t="array" ref="A1">Convert_to_Decimal(Course!H9)</f>
        <v>43.719444444444441</v>
      </c>
      <c r="B1" cm="1">
        <f t="array" ref="B1">Convert_to_Decimal(Course!I9)</f>
        <v>-70.205555555555549</v>
      </c>
      <c r="C1" t="str">
        <f>Course!J9</f>
        <v>ForesideToBasin_002</v>
      </c>
    </row>
    <row r="2" spans="1:3" x14ac:dyDescent="0.25">
      <c r="A2" cm="1">
        <f t="array" ref="A2">Convert_to_Decimal(Course!H10)</f>
        <v>43.704722222222223</v>
      </c>
      <c r="B2" cm="1">
        <f t="array" ref="B2">Convert_to_Decimal(Course!I10)</f>
        <v>-70.197500000000005</v>
      </c>
      <c r="C2" t="str">
        <f>Course!J10</f>
        <v>ForesideToBasin_003</v>
      </c>
    </row>
    <row r="3" spans="1:3" x14ac:dyDescent="0.25">
      <c r="A3" cm="1">
        <f t="array" ref="A3">Convert_to_Decimal(Course!H11)</f>
        <v>43.691111111111113</v>
      </c>
      <c r="B3" cm="1">
        <f t="array" ref="B3">Convert_to_Decimal(Course!I11)</f>
        <v>-70.171666666666667</v>
      </c>
      <c r="C3" t="str">
        <f>Course!J11</f>
        <v>ForesideToBasin_004</v>
      </c>
    </row>
    <row r="4" spans="1:3" x14ac:dyDescent="0.25">
      <c r="A4" cm="1">
        <f t="array" ref="A4">Convert_to_Decimal(Course!H12)</f>
        <v>43.674722222222222</v>
      </c>
      <c r="B4" cm="1">
        <f t="array" ref="B4">Convert_to_Decimal(Course!I12)</f>
        <v>-70.17861111111111</v>
      </c>
      <c r="C4" t="str">
        <f>Course!J12</f>
        <v>ForesideToBasin_005</v>
      </c>
    </row>
    <row r="5" spans="1:3" x14ac:dyDescent="0.25">
      <c r="A5" cm="1">
        <f t="array" ref="A5">Convert_to_Decimal(Course!H13)</f>
        <v>43.670833333333334</v>
      </c>
      <c r="B5" cm="1">
        <f t="array" ref="B5">Convert_to_Decimal(Course!I13)</f>
        <v>-70.177777777777777</v>
      </c>
      <c r="C5" t="str">
        <f>Course!J13</f>
        <v>ForesideToBasin_006</v>
      </c>
    </row>
    <row r="6" spans="1:3" x14ac:dyDescent="0.25">
      <c r="A6" cm="1">
        <f t="array" ref="A6">Convert_to_Decimal(Course!H14)</f>
        <v>43.665833333333332</v>
      </c>
      <c r="B6" cm="1">
        <f t="array" ref="B6">Convert_to_Decimal(Course!I14)</f>
        <v>-70.165277777777774</v>
      </c>
      <c r="C6" t="str">
        <f>Course!J14</f>
        <v>ForesideToBasin_007</v>
      </c>
    </row>
    <row r="7" spans="1:3" x14ac:dyDescent="0.25">
      <c r="A7" cm="1">
        <f t="array" ref="A7">Convert_to_Decimal(Course!H15)</f>
        <v>43.655000000000001</v>
      </c>
      <c r="B7" cm="1">
        <f t="array" ref="B7">Convert_to_Decimal(Course!I15)</f>
        <v>-70.118333333333339</v>
      </c>
      <c r="C7" t="str">
        <f>Course!J15</f>
        <v>ForesideToBasin_008</v>
      </c>
    </row>
    <row r="8" spans="1:3" x14ac:dyDescent="0.25">
      <c r="A8" cm="1">
        <f t="array" ref="A8">Convert_to_Decimal(Course!H16)</f>
        <v>43.653333333333336</v>
      </c>
      <c r="B8" cm="1">
        <f t="array" ref="B8">Convert_to_Decimal(Course!I16)</f>
        <v>-70.115555555555559</v>
      </c>
      <c r="C8" t="str">
        <f>Course!J16</f>
        <v>ForesideToBasin_009</v>
      </c>
    </row>
    <row r="9" spans="1:3" x14ac:dyDescent="0.25">
      <c r="A9" cm="1">
        <f t="array" ref="A9">Convert_to_Decimal(Course!H17)</f>
        <v>43.660277777777779</v>
      </c>
      <c r="B9" cm="1">
        <f t="array" ref="B9">Convert_to_Decimal(Course!I17)</f>
        <v>-70.039722222222224</v>
      </c>
      <c r="C9" t="str">
        <f>Course!J17</f>
        <v>ForesideToBasin_010</v>
      </c>
    </row>
    <row r="10" spans="1:3" x14ac:dyDescent="0.25">
      <c r="A10" cm="1">
        <f t="array" ref="A10">Convert_to_Decimal(Course!H18)</f>
        <v>43.714722222222221</v>
      </c>
      <c r="B10" cm="1">
        <f t="array" ref="B10">Convert_to_Decimal(Course!I18)</f>
        <v>-69.918333333333337</v>
      </c>
      <c r="C10" t="str">
        <f>Course!J18</f>
        <v>ForesideToBasin_011</v>
      </c>
    </row>
    <row r="11" spans="1:3" x14ac:dyDescent="0.25">
      <c r="A11" cm="1">
        <f t="array" ref="A11">Convert_to_Decimal(Course!H19)</f>
        <v>43.74527777777778</v>
      </c>
      <c r="B11" cm="1">
        <f t="array" ref="B11">Convert_to_Decimal(Course!I19)</f>
        <v>-69.87777777777778</v>
      </c>
      <c r="C11" t="str">
        <f>Course!J19</f>
        <v>ForesideToBasin_012</v>
      </c>
    </row>
    <row r="12" spans="1:3" x14ac:dyDescent="0.25">
      <c r="A12" cm="1">
        <f t="array" ref="A12">Convert_to_Decimal(Course!H20)</f>
        <v>43.764722222222225</v>
      </c>
      <c r="B12" cm="1">
        <f t="array" ref="B12">Convert_to_Decimal(Course!I20)</f>
        <v>-69.88111111111111</v>
      </c>
      <c r="C12" t="str">
        <f>Course!J20</f>
        <v>ForesideToBasin_013</v>
      </c>
    </row>
    <row r="13" spans="1:3" x14ac:dyDescent="0.25">
      <c r="A13" cm="1">
        <f t="array" ref="A13">Convert_to_Decimal(Course!H21)</f>
        <v>43.778611111111111</v>
      </c>
      <c r="B13" cm="1">
        <f t="array" ref="B13">Convert_to_Decimal(Course!I21)</f>
        <v>-69.888055555555553</v>
      </c>
      <c r="C13" t="str">
        <f>Course!J21</f>
        <v>ForesideToBasin_014</v>
      </c>
    </row>
    <row r="14" spans="1:3" x14ac:dyDescent="0.25">
      <c r="A14" cm="1">
        <f t="array" ref="A14">Convert_to_Decimal(Course!H22)</f>
        <v>43.8</v>
      </c>
      <c r="B14" cm="1">
        <f t="array" ref="B14">Convert_to_Decimal(Course!I22)</f>
        <v>-69.878055555555562</v>
      </c>
      <c r="C14" t="str">
        <f>Course!J22</f>
        <v>ForesideToBasin_015</v>
      </c>
    </row>
    <row r="15" spans="1:3" x14ac:dyDescent="0.25">
      <c r="A15" cm="1">
        <f t="array" ref="A15">Convert_to_Decimal(Course!H23)</f>
        <v>43.805</v>
      </c>
      <c r="B15" cm="1">
        <f t="array" ref="B15">Convert_to_Decimal(Course!I23)</f>
        <v>-69.866388888888892</v>
      </c>
      <c r="C15" t="str">
        <f>Course!J23</f>
        <v>ForesideToBasin_016</v>
      </c>
    </row>
    <row r="16" spans="1:3" x14ac:dyDescent="0.25">
      <c r="A16" cm="1">
        <f t="array" ref="A16">Convert_to_Decimal(Course!H24)</f>
        <v>43.801388888888887</v>
      </c>
      <c r="B16" cm="1">
        <f t="array" ref="B16">Convert_to_Decimal(Course!I24)</f>
        <v>-69.859166666666667</v>
      </c>
      <c r="C16" t="str">
        <f>Course!J24</f>
        <v>ForesideToBasin_017</v>
      </c>
    </row>
    <row r="17" spans="1:3" x14ac:dyDescent="0.25">
      <c r="A17" cm="1">
        <f t="array" ref="A17">Convert_to_Decimal(Course!H25)</f>
        <v>43.805277777777775</v>
      </c>
      <c r="B17" cm="1">
        <f t="array" ref="B17">Convert_to_Decimal(Course!I25)</f>
        <v>-69.854444444444439</v>
      </c>
      <c r="C17" t="str">
        <f>Course!J25</f>
        <v>ForesideToBasin_018</v>
      </c>
    </row>
    <row r="18" spans="1:3" x14ac:dyDescent="0.25">
      <c r="A18" s="17" t="s">
        <v>70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</vt:lpstr>
      <vt:lpstr>Conversion</vt:lpstr>
      <vt:lpstr>Course!Print_Area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Marvin Pribble</cp:lastModifiedBy>
  <cp:lastPrinted>2021-01-25T20:26:07Z</cp:lastPrinted>
  <dcterms:created xsi:type="dcterms:W3CDTF">2012-03-28T15:23:27Z</dcterms:created>
  <dcterms:modified xsi:type="dcterms:W3CDTF">2024-01-08T18:00:25Z</dcterms:modified>
</cp:coreProperties>
</file>